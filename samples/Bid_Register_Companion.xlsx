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d Register" sheetId="1" state="visible" r:id="rId1"/>
    <sheet xmlns:r="http://schemas.openxmlformats.org/officeDocument/2006/relationships" name="Pipeline Summary" sheetId="2" state="visible" r:id="rId2"/>
  </sheets>
  <definedNames>
    <definedName name="_xlnm._FilterDatabase" localSheetId="0" hidden="1">'Bid Register'!$A$1:$J$12</definedName>
    <definedName name="_xlnm._FilterDatabase" localSheetId="1" hidden="1">'Pipeline Summary'!$A$1:$C$8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yyyy-mm-dd"/>
    <numFmt numFmtId="166" formatCode="ddd dd mmm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6100"/>
      <sz val="11"/>
    </font>
    <font>
      <name val="Calibri"/>
      <color rgb="001F3864"/>
      <sz val="11"/>
    </font>
    <font>
      <name val="Calibri"/>
      <color rgb="009C0006"/>
      <sz val="11"/>
    </font>
    <font>
      <name val="Calibri"/>
      <color rgb="00595959"/>
      <sz val="11"/>
    </font>
    <font>
      <name val="Calibri"/>
      <color rgb="009C5700"/>
      <sz val="11"/>
    </font>
    <font>
      <name val="Calibri"/>
      <b val="1"/>
      <color rgb="00000000"/>
      <sz val="11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C7CE"/>
        <bgColor rgb="00FFC7CE"/>
      </patternFill>
    </fill>
    <fill>
      <patternFill patternType="solid">
        <fgColor rgb="00EDEDED"/>
        <bgColor rgb="00EDEDED"/>
      </patternFill>
    </fill>
    <fill>
      <patternFill patternType="solid">
        <fgColor rgb="00FFEB9C"/>
        <bgColor rgb="00FFEB9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left"/>
    </xf>
    <xf numFmtId="0" fontId="3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/>
    </xf>
    <xf numFmtId="0" fontId="8" fillId="9" borderId="1" applyAlignment="1" pivotButton="0" quotePrefix="0" xfId="0">
      <alignment vertical="center"/>
    </xf>
    <xf numFmtId="0" fontId="8" fillId="9" borderId="1" applyAlignment="1" pivotButton="0" quotePrefix="0" xfId="0">
      <alignment horizontal="right" vertical="center"/>
    </xf>
    <xf numFmtId="164" fontId="8" fillId="9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34" customWidth="1" min="3" max="3"/>
    <col width="13" customWidth="1" min="4" max="4"/>
    <col width="12" customWidth="1" min="5" max="5"/>
    <col width="12" customWidth="1" min="6" max="6"/>
    <col width="12" customWidth="1" min="7" max="7"/>
    <col width="14" customWidth="1" min="8" max="8"/>
    <col width="33" customWidth="1" min="9" max="9"/>
    <col width="26" customWidth="1" min="10" max="10"/>
  </cols>
  <sheetData>
    <row r="1" ht="20" customHeight="1">
      <c r="A1" s="1" t="inlineStr">
        <is>
          <t>Bid ID</t>
        </is>
      </c>
      <c r="B1" s="1" t="inlineStr">
        <is>
          <t>Head Contractor / Client</t>
        </is>
      </c>
      <c r="C1" s="1" t="inlineStr">
        <is>
          <t>Project</t>
        </is>
      </c>
      <c r="D1" s="1" t="inlineStr">
        <is>
          <t>Est. Value</t>
        </is>
      </c>
      <c r="E1" s="1" t="inlineStr">
        <is>
          <t>Received</t>
        </is>
      </c>
      <c r="F1" s="1" t="inlineStr">
        <is>
          <t>Due</t>
        </is>
      </c>
      <c r="G1" s="1" t="inlineStr">
        <is>
          <t>Estimator</t>
        </is>
      </c>
      <c r="H1" s="1" t="inlineStr">
        <is>
          <t>Stage</t>
        </is>
      </c>
      <c r="I1" s="1" t="inlineStr">
        <is>
          <t>Next Action</t>
        </is>
      </c>
      <c r="J1" s="1" t="inlineStr">
        <is>
          <t>Notes</t>
        </is>
      </c>
    </row>
    <row r="2">
      <c r="A2" s="2" t="inlineStr">
        <is>
          <t>BID-2609-002</t>
        </is>
      </c>
      <c r="B2" s="2" t="inlineStr">
        <is>
          <t>Kestrel Projects</t>
        </is>
      </c>
      <c r="C2" s="2" t="inlineStr">
        <is>
          <t>Joondalup Logistics Hub, Tilt-up Panel</t>
        </is>
      </c>
      <c r="D2" s="3" t="n">
        <v>1120000</v>
      </c>
      <c r="E2" s="4" t="n">
        <v>46266</v>
      </c>
      <c r="F2" s="4" t="n">
        <v>46276</v>
      </c>
      <c r="G2" s="2" t="inlineStr">
        <is>
          <t>M. Delaney</t>
        </is>
      </c>
      <c r="H2" s="5" t="inlineStr">
        <is>
          <t>Awarded</t>
        </is>
      </c>
      <c r="I2" s="2" t="inlineStr">
        <is>
          <t>Contract review (T. Hargreaves)</t>
        </is>
      </c>
      <c r="J2" s="2" t="n"/>
    </row>
    <row r="3">
      <c r="A3" s="2" t="inlineStr">
        <is>
          <t>BID-2609-004</t>
        </is>
      </c>
      <c r="B3" s="2" t="inlineStr">
        <is>
          <t>Harbourline Constructions</t>
        </is>
      </c>
      <c r="C3" s="2" t="inlineStr">
        <is>
          <t>Mill Point Medical Centre Fit-out</t>
        </is>
      </c>
      <c r="D3" s="3" t="n">
        <v>2400000</v>
      </c>
      <c r="E3" s="4" t="n">
        <v>46267</v>
      </c>
      <c r="F3" s="4" t="n">
        <v>46283</v>
      </c>
      <c r="G3" s="2" t="inlineStr">
        <is>
          <t>P. Raman</t>
        </is>
      </c>
      <c r="H3" s="6" t="inlineStr">
        <is>
          <t>Submitted</t>
        </is>
      </c>
      <c r="I3" s="2" t="inlineStr">
        <is>
          <t>Follow up Wed 07 Oct</t>
        </is>
      </c>
      <c r="J3" s="2" t="n"/>
    </row>
    <row r="4">
      <c r="A4" s="2" t="inlineStr">
        <is>
          <t>BID-2609-007</t>
        </is>
      </c>
      <c r="B4" s="2" t="inlineStr">
        <is>
          <t>Ridgeway Builders</t>
        </is>
      </c>
      <c r="C4" s="2" t="inlineStr">
        <is>
          <t>Midland TAFE Workshop Upgrade</t>
        </is>
      </c>
      <c r="D4" s="3" t="n">
        <v>860000</v>
      </c>
      <c r="E4" s="4" t="n">
        <v>46269</v>
      </c>
      <c r="F4" s="4" t="n">
        <v>46281</v>
      </c>
      <c r="G4" s="2" t="inlineStr">
        <is>
          <t>P. Raman</t>
        </is>
      </c>
      <c r="H4" s="5" t="inlineStr">
        <is>
          <t>Awarded</t>
        </is>
      </c>
      <c r="I4" s="2" t="inlineStr">
        <is>
          <t>Subcontract for signature</t>
        </is>
      </c>
      <c r="J4" s="2" t="n"/>
    </row>
    <row r="5">
      <c r="A5" s="2" t="inlineStr">
        <is>
          <t>BID-2609-009</t>
        </is>
      </c>
      <c r="B5" s="2" t="inlineStr">
        <is>
          <t>Sable &amp; Co Developments</t>
        </is>
      </c>
      <c r="C5" s="2" t="inlineStr">
        <is>
          <t>Subiaco Apartments, 42 Units</t>
        </is>
      </c>
      <c r="D5" s="3" t="n">
        <v>6300000</v>
      </c>
      <c r="E5" s="4" t="n">
        <v>46272</v>
      </c>
      <c r="F5" s="4" t="n">
        <v>46289</v>
      </c>
      <c r="G5" s="2" t="inlineStr">
        <is>
          <t>M. Delaney</t>
        </is>
      </c>
      <c r="H5" s="7" t="inlineStr">
        <is>
          <t>Lost</t>
        </is>
      </c>
      <c r="I5" s="2" t="inlineStr">
        <is>
          <t>Feedback requested 28 Sep</t>
        </is>
      </c>
      <c r="J5" s="2" t="n"/>
    </row>
    <row r="6">
      <c r="A6" s="2" t="inlineStr">
        <is>
          <t>BID-2609-012</t>
        </is>
      </c>
      <c r="B6" s="2" t="inlineStr">
        <is>
          <t>Harbourline Constructions</t>
        </is>
      </c>
      <c r="C6" s="2" t="inlineStr">
        <is>
          <t>Rockingham Primary School Refurb</t>
        </is>
      </c>
      <c r="D6" s="3" t="n">
        <v>1750000</v>
      </c>
      <c r="E6" s="4" t="n">
        <v>46274</v>
      </c>
      <c r="F6" s="4" t="n">
        <v>46290</v>
      </c>
      <c r="G6" s="2" t="inlineStr">
        <is>
          <t>M. Delaney</t>
        </is>
      </c>
      <c r="H6" s="7" t="inlineStr">
        <is>
          <t>Lost</t>
        </is>
      </c>
      <c r="I6" s="2" t="inlineStr">
        <is>
          <t>Close out and archive</t>
        </is>
      </c>
      <c r="J6" s="2" t="n"/>
    </row>
    <row r="7">
      <c r="A7" s="2" t="inlineStr">
        <is>
          <t>BID-2609-014</t>
        </is>
      </c>
      <c r="B7" s="2" t="inlineStr">
        <is>
          <t>State Works Dept</t>
        </is>
      </c>
      <c r="C7" s="2" t="inlineStr">
        <is>
          <t>Kwinana Depot Roof Replacement</t>
        </is>
      </c>
      <c r="D7" s="3" t="n">
        <v>940000</v>
      </c>
      <c r="E7" s="4" t="n">
        <v>46275</v>
      </c>
      <c r="F7" s="4" t="n">
        <v>46287</v>
      </c>
      <c r="G7" s="2" t="inlineStr">
        <is>
          <t>P. Raman</t>
        </is>
      </c>
      <c r="H7" s="5" t="inlineStr">
        <is>
          <t>Awarded</t>
        </is>
      </c>
      <c r="I7" s="2" t="inlineStr">
        <is>
          <t>Await countersigned contract</t>
        </is>
      </c>
      <c r="J7" s="2" t="n"/>
    </row>
    <row r="8">
      <c r="A8" s="2" t="inlineStr">
        <is>
          <t>BID-2609-016</t>
        </is>
      </c>
      <c r="B8" s="2" t="inlineStr">
        <is>
          <t>Coastal Edge Homes</t>
        </is>
      </c>
      <c r="C8" s="2" t="inlineStr">
        <is>
          <t>Baldivis Estate Civil Works</t>
        </is>
      </c>
      <c r="D8" s="3" t="n">
        <v>2100000</v>
      </c>
      <c r="E8" s="4" t="n">
        <v>46276</v>
      </c>
      <c r="F8" s="4" t="n">
        <v>46288</v>
      </c>
      <c r="G8" s="2" t="inlineStr">
        <is>
          <t>P. Raman</t>
        </is>
      </c>
      <c r="H8" s="8" t="inlineStr">
        <is>
          <t>Withdrawn</t>
        </is>
      </c>
      <c r="I8" s="2" t="inlineStr">
        <is>
          <t>Scope mismatch, closed</t>
        </is>
      </c>
      <c r="J8" s="2" t="n"/>
    </row>
    <row r="9">
      <c r="A9" s="2" t="inlineStr">
        <is>
          <t>BID-2609-017</t>
        </is>
      </c>
      <c r="B9" s="2" t="inlineStr">
        <is>
          <t>Kestrel Projects</t>
        </is>
      </c>
      <c r="C9" s="2" t="inlineStr">
        <is>
          <t>Bibra Lake Warehouse Fit-out</t>
        </is>
      </c>
      <c r="D9" s="3" t="n">
        <v>3100000</v>
      </c>
      <c r="E9" s="4" t="n">
        <v>46279</v>
      </c>
      <c r="F9" s="4" t="n">
        <v>46295</v>
      </c>
      <c r="G9" s="2" t="inlineStr">
        <is>
          <t>M. Delaney</t>
        </is>
      </c>
      <c r="H9" s="6" t="inlineStr">
        <is>
          <t>Submitted</t>
        </is>
      </c>
      <c r="I9" s="2" t="inlineStr">
        <is>
          <t>Follow up Wed 14 Oct</t>
        </is>
      </c>
      <c r="J9" s="2" t="inlineStr">
        <is>
          <t>Due extended from Tue 29 Sep</t>
        </is>
      </c>
    </row>
    <row r="10">
      <c r="A10" s="2" t="inlineStr">
        <is>
          <t>BID-2609-019</t>
        </is>
      </c>
      <c r="B10" s="2" t="inlineStr">
        <is>
          <t>Coastal Edge Homes</t>
        </is>
      </c>
      <c r="C10" s="2" t="inlineStr">
        <is>
          <t>Mandurah Townhouses, 12 Units</t>
        </is>
      </c>
      <c r="D10" s="3" t="n">
        <v>2950000</v>
      </c>
      <c r="E10" s="4" t="n">
        <v>46280</v>
      </c>
      <c r="F10" s="4" t="n">
        <v>46295</v>
      </c>
      <c r="G10" s="2" t="inlineStr">
        <is>
          <t>P. Raman</t>
        </is>
      </c>
      <c r="H10" s="6" t="inlineStr">
        <is>
          <t>Submitted</t>
        </is>
      </c>
      <c r="I10" s="2" t="inlineStr">
        <is>
          <t>Follow up Wed 14 Oct</t>
        </is>
      </c>
      <c r="J10" s="2" t="n"/>
    </row>
    <row r="11">
      <c r="A11" s="2" t="inlineStr">
        <is>
          <t>BID-2609-021</t>
        </is>
      </c>
      <c r="B11" s="2" t="inlineStr">
        <is>
          <t>Ridgeway Builders</t>
        </is>
      </c>
      <c r="C11" s="2" t="inlineStr">
        <is>
          <t>Cannington Community Centre</t>
        </is>
      </c>
      <c r="D11" s="3" t="n">
        <v>1400000</v>
      </c>
      <c r="E11" s="4" t="n">
        <v>46282</v>
      </c>
      <c r="F11" s="4" t="n">
        <v>46297</v>
      </c>
      <c r="G11" s="2" t="inlineStr">
        <is>
          <t>M. Delaney</t>
        </is>
      </c>
      <c r="H11" s="9" t="inlineStr">
        <is>
          <t>Pricing Review</t>
        </is>
      </c>
      <c r="I11" s="2" t="inlineStr">
        <is>
          <t>Final sign-off Thu 01 Oct</t>
        </is>
      </c>
      <c r="J11" s="2" t="n"/>
    </row>
    <row r="12">
      <c r="A12" s="2" t="inlineStr">
        <is>
          <t>BID-2609-023</t>
        </is>
      </c>
      <c r="B12" s="2" t="inlineStr">
        <is>
          <t>Sable &amp; Co Developments</t>
        </is>
      </c>
      <c r="C12" s="2" t="inlineStr">
        <is>
          <t>Fremantle Boutique Hotel Refurb</t>
        </is>
      </c>
      <c r="D12" s="3" t="n">
        <v>4200000</v>
      </c>
      <c r="E12" s="4" t="n">
        <v>46283</v>
      </c>
      <c r="F12" s="4" t="n">
        <v>46300</v>
      </c>
      <c r="G12" s="2" t="inlineStr">
        <is>
          <t>P. Raman</t>
        </is>
      </c>
      <c r="H12" s="10" t="inlineStr">
        <is>
          <t>Estimating</t>
        </is>
      </c>
      <c r="I12" s="2" t="inlineStr">
        <is>
          <t>Chase 2 overdue subtrade quotes</t>
        </is>
      </c>
      <c r="J12" s="2" t="n"/>
    </row>
  </sheetData>
  <autoFilter ref="A1:J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30" customWidth="1" min="3" max="3"/>
  </cols>
  <sheetData>
    <row r="1" ht="20" customHeight="1">
      <c r="A1" s="1" t="inlineStr">
        <is>
          <t>Stage</t>
        </is>
      </c>
      <c r="B1" s="1" t="inlineStr">
        <is>
          <t>Records</t>
        </is>
      </c>
      <c r="C1" s="1" t="inlineStr">
        <is>
          <t>Est. project value (fictional)</t>
        </is>
      </c>
    </row>
    <row r="2">
      <c r="A2" s="5" t="inlineStr">
        <is>
          <t>Awarded</t>
        </is>
      </c>
      <c r="B2" s="11">
        <f>COUNTIF('Bid Register'!H:H,A2)</f>
        <v/>
      </c>
      <c r="C2" s="12">
        <f>SUMIF('Bid Register'!H:H,A2,'Bid Register'!D:D)</f>
        <v/>
      </c>
    </row>
    <row r="3">
      <c r="A3" s="7" t="inlineStr">
        <is>
          <t>Lost</t>
        </is>
      </c>
      <c r="B3" s="11">
        <f>COUNTIF('Bid Register'!H:H,A3)</f>
        <v/>
      </c>
      <c r="C3" s="12">
        <f>SUMIF('Bid Register'!H:H,A3,'Bid Register'!D:D)</f>
        <v/>
      </c>
    </row>
    <row r="4">
      <c r="A4" s="6" t="inlineStr">
        <is>
          <t>Submitted</t>
        </is>
      </c>
      <c r="B4" s="11">
        <f>COUNTIF('Bid Register'!H:H,A4)</f>
        <v/>
      </c>
      <c r="C4" s="12">
        <f>SUMIF('Bid Register'!H:H,A4,'Bid Register'!D:D)</f>
        <v/>
      </c>
    </row>
    <row r="5">
      <c r="A5" s="8" t="inlineStr">
        <is>
          <t>Withdrawn</t>
        </is>
      </c>
      <c r="B5" s="11">
        <f>COUNTIF('Bid Register'!H:H,A5)</f>
        <v/>
      </c>
      <c r="C5" s="12">
        <f>SUMIF('Bid Register'!H:H,A5,'Bid Register'!D:D)</f>
        <v/>
      </c>
    </row>
    <row r="6">
      <c r="A6" s="9" t="inlineStr">
        <is>
          <t>Pricing Review</t>
        </is>
      </c>
      <c r="B6" s="11">
        <f>COUNTIF('Bid Register'!H:H,A6)</f>
        <v/>
      </c>
      <c r="C6" s="12">
        <f>SUMIF('Bid Register'!H:H,A6,'Bid Register'!D:D)</f>
        <v/>
      </c>
    </row>
    <row r="7">
      <c r="A7" s="10" t="inlineStr">
        <is>
          <t>Estimating</t>
        </is>
      </c>
      <c r="B7" s="11">
        <f>COUNTIF('Bid Register'!H:H,A7)</f>
        <v/>
      </c>
      <c r="C7" s="12">
        <f>SUMIF('Bid Register'!H:H,A7,'Bid Register'!D:D)</f>
        <v/>
      </c>
    </row>
    <row r="8">
      <c r="A8" s="13" t="inlineStr">
        <is>
          <t>Total</t>
        </is>
      </c>
      <c r="B8" s="14">
        <f>SUM(B2:B7)</f>
        <v/>
      </c>
      <c r="C8" s="15">
        <f>SUM(C2:C7)</f>
        <v/>
      </c>
    </row>
  </sheetData>
  <autoFilter ref="A1:C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2026-10-10T03:37:35Z</dcterms:created>
  <dcterms:modified xmlns:dcterms="http://purl.org/dc/terms/" xmlns:xsi="http://www.w3.org/2001/XMLSchema-instance" xsi:type="dcterms:W3CDTF">2026-10-10T03:37:35Z</dcterms:modified>
</cp:coreProperties>
</file>